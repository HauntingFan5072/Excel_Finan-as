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name="Rendimento">'Página1'!$E$5</definedName>
  </definedNames>
  <calcPr/>
</workbook>
</file>

<file path=xl/sharedStrings.xml><?xml version="1.0" encoding="utf-8"?>
<sst xmlns="http://schemas.openxmlformats.org/spreadsheetml/2006/main" count="71" uniqueCount="35">
  <si>
    <t>Chave</t>
  </si>
  <si>
    <t>Perfil</t>
  </si>
  <si>
    <t>Tipos de FIIs</t>
  </si>
  <si>
    <t>Conservador</t>
  </si>
  <si>
    <t>Papel</t>
  </si>
  <si>
    <t>Tijolo</t>
  </si>
  <si>
    <t>%</t>
  </si>
  <si>
    <t>hibrido</t>
  </si>
  <si>
    <t>Moderado-hibrido</t>
  </si>
  <si>
    <t>FOFs</t>
  </si>
  <si>
    <t>desenvolvimento</t>
  </si>
  <si>
    <t>Hotelaria</t>
  </si>
  <si>
    <t>Moderado</t>
  </si>
  <si>
    <t>Agressivo</t>
  </si>
  <si>
    <t>Configurações</t>
  </si>
  <si>
    <t>Salario</t>
  </si>
  <si>
    <t>Rendimento</t>
  </si>
  <si>
    <t>Quantidade dos aportes</t>
  </si>
  <si>
    <t>Investimento Mensal</t>
  </si>
  <si>
    <t>Investimento mensal</t>
  </si>
  <si>
    <t>Tempo de aportes (Anos)</t>
  </si>
  <si>
    <t>Rendimento mensal</t>
  </si>
  <si>
    <t>Patrimonio acumulado</t>
  </si>
  <si>
    <t xml:space="preserve">Cenário </t>
  </si>
  <si>
    <t>Dividendos</t>
  </si>
  <si>
    <t>Rendimento em 2</t>
  </si>
  <si>
    <t>Rendimento em 5</t>
  </si>
  <si>
    <t>Rendimento em 10</t>
  </si>
  <si>
    <t>Rendimento em 15</t>
  </si>
  <si>
    <t>Rendimento em 20</t>
  </si>
  <si>
    <t>Rendimento em 30</t>
  </si>
  <si>
    <t xml:space="preserve">Valor a ser investido por mes </t>
  </si>
  <si>
    <t>Tipo de FIIs</t>
  </si>
  <si>
    <t>Percentual sugerido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</si>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</sst>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 -416]#,##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FFFFFF"/>
      <name val="Arial"/>
      <scheme val="minor"/>
    </font>
    <font/>
    <font>
      <sz val="12.0"/>
      <color theme="1"/>
      <name val="Arial"/>
      <scheme val="minor"/>
    </font>
    <font>
      <sz val="16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1" numFmtId="9" xfId="0" applyFont="1" applyNumberForma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3" fontId="4" numFmtId="0" xfId="0" applyAlignment="1" applyBorder="1" applyFill="1" applyFont="1">
      <alignment readingOrder="0"/>
    </xf>
    <xf borderId="7" fillId="0" fontId="3" numFmtId="0" xfId="0" applyBorder="1" applyFont="1"/>
    <xf borderId="8" fillId="4" fontId="1" numFmtId="164" xfId="0" applyAlignment="1" applyBorder="1" applyFill="1" applyFont="1" applyNumberFormat="1">
      <alignment horizontal="center" readingOrder="0"/>
    </xf>
    <xf borderId="9" fillId="0" fontId="3" numFmtId="0" xfId="0" applyBorder="1" applyFont="1"/>
    <xf borderId="4" fillId="3" fontId="4" numFmtId="0" xfId="0" applyAlignment="1" applyBorder="1" applyFill="1" applyFont="1">
      <alignment readingOrder="0"/>
    </xf>
    <xf borderId="10" fillId="4" fontId="1" numFmtId="10" xfId="0" applyAlignment="1" applyBorder="1" applyFill="1" applyFont="1" applyNumberFormat="1">
      <alignment horizontal="center" readingOrder="0"/>
    </xf>
    <xf borderId="11" fillId="3" fontId="4" numFmtId="0" xfId="0" applyAlignment="1" applyBorder="1" applyFill="1" applyFont="1">
      <alignment readingOrder="0"/>
    </xf>
    <xf borderId="12" fillId="0" fontId="3" numFmtId="0" xfId="0" applyBorder="1" applyFont="1"/>
    <xf borderId="13" fillId="4" fontId="1" numFmtId="164" xfId="0" applyAlignment="1" applyBorder="1" applyFill="1" applyFont="1" applyNumberFormat="1">
      <alignment horizontal="center"/>
    </xf>
    <xf borderId="14" fillId="0" fontId="3" numFmtId="0" xfId="0" applyBorder="1" applyFont="1"/>
    <xf borderId="0" fillId="5" fontId="1" numFmtId="165" xfId="0" applyAlignment="1" applyFill="1" applyFont="1" applyNumberFormat="1">
      <alignment horizont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4" fontId="1" numFmtId="164" xfId="0" applyAlignment="1" applyFill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1" numFmtId="10" xfId="0" applyAlignment="1" applyFill="1" applyFont="1" applyNumberFormat="1">
      <alignment horizontal="center" readingOrder="0"/>
    </xf>
    <xf borderId="4" fillId="6" fontId="4" numFmtId="0" xfId="0" applyAlignment="1" applyBorder="1" applyFill="1" applyFont="1">
      <alignment readingOrder="0"/>
    </xf>
    <xf borderId="0" fillId="6" fontId="1" numFmtId="164" xfId="0" applyAlignment="1" applyFill="1" applyFont="1" applyNumberFormat="1">
      <alignment horizontal="center"/>
    </xf>
    <xf borderId="11" fillId="6" fontId="4" numFmtId="0" xfId="0" applyAlignment="1" applyBorder="1" applyFill="1" applyFont="1">
      <alignment readingOrder="0"/>
    </xf>
    <xf borderId="19" fillId="0" fontId="3" numFmtId="0" xfId="0" applyBorder="1" applyFont="1"/>
    <xf borderId="12" fillId="6" fontId="1" numFmtId="164" xfId="0" applyAlignment="1" applyBorder="1" applyFill="1" applyFont="1" applyNumberFormat="1">
      <alignment horizontal="center"/>
    </xf>
    <xf borderId="20" fillId="0" fontId="3" numFmtId="0" xfId="0" applyBorder="1" applyFont="1"/>
    <xf borderId="21" fillId="2" fontId="2" numFmtId="0" xfId="0" applyAlignment="1" applyBorder="1" applyFill="1" applyFont="1">
      <alignment readingOrder="0"/>
    </xf>
    <xf borderId="22" fillId="0" fontId="3" numFmtId="0" xfId="0" applyBorder="1" applyFont="1"/>
    <xf borderId="23" fillId="0" fontId="3" numFmtId="0" xfId="0" applyBorder="1" applyFont="1"/>
    <xf borderId="24" fillId="3" fontId="4" numFmtId="0" xfId="0" applyAlignment="1" applyBorder="1" applyFill="1" applyFont="1">
      <alignment readingOrder="0"/>
    </xf>
    <xf borderId="25" fillId="0" fontId="3" numFmtId="0" xfId="0" applyBorder="1" applyFont="1"/>
    <xf borderId="25" fillId="3" fontId="1" numFmtId="164" xfId="0" applyBorder="1" applyFill="1" applyFont="1" applyNumberFormat="1"/>
    <xf borderId="26" fillId="3" fontId="1" numFmtId="164" xfId="0" applyAlignment="1" applyBorder="1" applyFill="1" applyFont="1" applyNumberFormat="1">
      <alignment horizontal="center"/>
    </xf>
    <xf borderId="27" fillId="3" fontId="4" numFmtId="0" xfId="0" applyAlignment="1" applyBorder="1" applyFill="1" applyFont="1">
      <alignment readingOrder="0"/>
    </xf>
    <xf borderId="28" fillId="0" fontId="3" numFmtId="0" xfId="0" applyBorder="1" applyFont="1"/>
    <xf borderId="28" fillId="3" fontId="1" numFmtId="164" xfId="0" applyBorder="1" applyFill="1" applyFont="1" applyNumberFormat="1"/>
    <xf borderId="29" fillId="3" fontId="1" numFmtId="164" xfId="0" applyAlignment="1" applyBorder="1" applyFill="1" applyFont="1" applyNumberFormat="1">
      <alignment horizontal="center"/>
    </xf>
    <xf borderId="0" fillId="2" fontId="5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3" fontId="1" numFmtId="164" xfId="0" applyAlignment="1" applyFill="1" applyFont="1" applyNumberForma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30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4" fillId="3" fontId="1" numFmtId="0" xfId="0" applyAlignment="1" applyBorder="1" applyFill="1" applyFont="1">
      <alignment readingOrder="0"/>
    </xf>
    <xf borderId="31" fillId="3" fontId="1" numFmtId="9" xfId="0" applyAlignment="1" applyBorder="1" applyFill="1" applyFont="1" applyNumberFormat="1">
      <alignment horizontal="center" readingOrder="0"/>
    </xf>
    <xf borderId="5" fillId="3" fontId="1" numFmtId="164" xfId="0" applyAlignment="1" applyBorder="1" applyFill="1" applyFont="1" applyNumberFormat="1">
      <alignment horizontal="center"/>
    </xf>
    <xf borderId="11" fillId="3" fontId="1" numFmtId="0" xfId="0" applyAlignment="1" applyBorder="1" applyFill="1" applyFont="1">
      <alignment readingOrder="0"/>
    </xf>
    <xf borderId="32" fillId="3" fontId="1" numFmtId="9" xfId="0" applyAlignment="1" applyBorder="1" applyFill="1" applyFont="1" applyNumberFormat="1">
      <alignment horizontal="center" readingOrder="0"/>
    </xf>
    <xf borderId="14" fillId="3" fontId="1" numFmtId="164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25"/>
    <col customWidth="1" min="6" max="6" width="22.5"/>
    <col hidden="1" min="8" max="26" width="12.63"/>
  </cols>
  <sheetData>
    <row r="2">
      <c r="B2" s="5" t="s">
        <v>14</v>
      </c>
      <c r="C2" s="6"/>
      <c r="D2" s="6"/>
      <c r="E2" s="6"/>
      <c r="F2" s="7"/>
    </row>
    <row r="3">
      <c r="B3" s="8"/>
      <c r="F3" s="9"/>
    </row>
    <row r="4">
      <c r="B4" s="10" t="s">
        <v>15</v>
      </c>
      <c r="C4" s="11"/>
      <c r="D4" s="11"/>
      <c r="E4" s="12">
        <v>1000.0</v>
      </c>
      <c r="F4" s="13"/>
    </row>
    <row r="5">
      <c r="B5" s="14" t="s">
        <v>16</v>
      </c>
      <c r="E5" s="15">
        <v>0.006</v>
      </c>
      <c r="F5" s="9"/>
    </row>
    <row r="6">
      <c r="B6" s="16" t="s">
        <v>17</v>
      </c>
      <c r="C6" s="17"/>
      <c r="D6" s="17"/>
      <c r="E6" s="18">
        <f>E4*30%</f>
        <v>300</v>
      </c>
      <c r="F6" s="19"/>
    </row>
    <row r="7">
      <c r="B7" s="1"/>
      <c r="D7" s="20"/>
    </row>
    <row r="8">
      <c r="B8" s="5" t="s">
        <v>18</v>
      </c>
      <c r="C8" s="6"/>
      <c r="D8" s="6"/>
      <c r="E8" s="6"/>
      <c r="F8" s="7"/>
    </row>
    <row r="9">
      <c r="B9" s="21"/>
      <c r="C9" s="22"/>
      <c r="D9" s="22"/>
      <c r="E9" s="22"/>
      <c r="F9" s="23"/>
    </row>
    <row r="10">
      <c r="B10" s="14" t="s">
        <v>19</v>
      </c>
      <c r="D10" s="24"/>
      <c r="E10" s="25">
        <v>500.0</v>
      </c>
      <c r="F10" s="9"/>
    </row>
    <row r="11">
      <c r="B11" s="14" t="s">
        <v>20</v>
      </c>
      <c r="D11" s="24"/>
      <c r="E11" s="26">
        <v>5.0</v>
      </c>
      <c r="F11" s="9"/>
    </row>
    <row r="12">
      <c r="B12" s="14" t="s">
        <v>21</v>
      </c>
      <c r="D12" s="24"/>
      <c r="E12" s="27">
        <v>0.0108</v>
      </c>
      <c r="F12" s="9"/>
    </row>
    <row r="13">
      <c r="B13" s="28" t="s">
        <v>22</v>
      </c>
      <c r="D13" s="24"/>
      <c r="E13" s="29">
        <f>FV(E12,E11*12,E10*-1)</f>
        <v>41902.00968</v>
      </c>
      <c r="F13" s="9"/>
    </row>
    <row r="14">
      <c r="B14" s="30" t="s">
        <v>19</v>
      </c>
      <c r="C14" s="17"/>
      <c r="D14" s="31"/>
      <c r="E14" s="32">
        <f>E13*E5</f>
        <v>251.4120581</v>
      </c>
      <c r="F14" s="19"/>
    </row>
    <row r="16">
      <c r="B16" s="5" t="s">
        <v>23</v>
      </c>
      <c r="C16" s="6"/>
      <c r="D16" s="6"/>
      <c r="E16" s="33"/>
      <c r="F16" s="34" t="s">
        <v>24</v>
      </c>
    </row>
    <row r="17">
      <c r="B17" s="21"/>
      <c r="C17" s="22"/>
      <c r="D17" s="22"/>
      <c r="E17" s="35"/>
      <c r="F17" s="36"/>
    </row>
    <row r="18">
      <c r="B18" s="37" t="s">
        <v>25</v>
      </c>
      <c r="C18" s="38"/>
      <c r="D18" s="39">
        <f>FV(E12,2*12,$E$10*-1)</f>
        <v>13615.43183</v>
      </c>
      <c r="E18" s="38"/>
      <c r="F18" s="40">
        <f>(D18*Rendimento)</f>
        <v>81.69259098</v>
      </c>
    </row>
    <row r="19">
      <c r="B19" s="37" t="s">
        <v>26</v>
      </c>
      <c r="C19" s="38"/>
      <c r="D19" s="39">
        <f>FV($E$12,5*12,$E$10*-1)</f>
        <v>41902.00968</v>
      </c>
      <c r="E19" s="38"/>
      <c r="F19" s="40">
        <f>(D19*Rendimento)</f>
        <v>251.4120581</v>
      </c>
    </row>
    <row r="20">
      <c r="B20" s="37" t="s">
        <v>27</v>
      </c>
      <c r="C20" s="38"/>
      <c r="D20" s="39">
        <f>FV($E$12,10*12,$E$10*-1)</f>
        <v>121728.8331</v>
      </c>
      <c r="E20" s="38"/>
      <c r="F20" s="40">
        <f>(D20*Rendimento)</f>
        <v>730.3729988</v>
      </c>
    </row>
    <row r="21">
      <c r="B21" s="37" t="s">
        <v>28</v>
      </c>
      <c r="C21" s="38"/>
      <c r="D21" s="39">
        <f>FV($E$12,15*12,$E$10*-1)</f>
        <v>273805.5901</v>
      </c>
      <c r="E21" s="38"/>
      <c r="F21" s="40">
        <f>(D21*Rendimento)</f>
        <v>1642.83354</v>
      </c>
    </row>
    <row r="22">
      <c r="B22" s="37" t="s">
        <v>29</v>
      </c>
      <c r="C22" s="38"/>
      <c r="D22" s="39">
        <f>FV($E$12,20*12,$E$10*-1)</f>
        <v>563524.4966</v>
      </c>
      <c r="E22" s="38"/>
      <c r="F22" s="40">
        <f>(D22*Rendimento)</f>
        <v>3381.14698</v>
      </c>
    </row>
    <row r="23">
      <c r="B23" s="41" t="s">
        <v>30</v>
      </c>
      <c r="C23" s="42"/>
      <c r="D23" s="43">
        <f>FV($E$12,30*12,$E$10*-1)</f>
        <v>2166952.405</v>
      </c>
      <c r="E23" s="42"/>
      <c r="F23" s="44">
        <f>(D23*Rendimento)</f>
        <v>13001.71443</v>
      </c>
    </row>
    <row r="25">
      <c r="B25" s="45" t="s">
        <v>1</v>
      </c>
      <c r="E25" s="45" t="s">
        <v>13</v>
      </c>
    </row>
    <row r="26">
      <c r="B26" s="46" t="s">
        <v>31</v>
      </c>
      <c r="E26" s="47">
        <f>E6</f>
        <v>300</v>
      </c>
    </row>
    <row r="27">
      <c r="B27" s="48" t="s">
        <v>32</v>
      </c>
      <c r="C27" s="6"/>
      <c r="D27" s="6"/>
      <c r="E27" s="49" t="s">
        <v>33</v>
      </c>
      <c r="F27" s="50" t="s">
        <v>34</v>
      </c>
    </row>
    <row r="28">
      <c r="B28" s="51" t="s">
        <v>4</v>
      </c>
      <c r="E28" s="52">
        <f>VLOOKUP($E$25&amp;"-"&amp;B28,'Página2'!A:D,4,FALSE())</f>
        <v>0.5</v>
      </c>
      <c r="F28" s="53">
        <f t="shared" ref="F28:F33" si="1">E28*$E$26</f>
        <v>150</v>
      </c>
    </row>
    <row r="29">
      <c r="B29" s="51" t="s">
        <v>5</v>
      </c>
      <c r="E29" s="52">
        <f>VLOOKUP($E$25&amp;"-"&amp;B29,'Página2'!A:D,4,FALSE())</f>
        <v>0.1</v>
      </c>
      <c r="F29" s="53">
        <f t="shared" si="1"/>
        <v>30</v>
      </c>
    </row>
    <row r="30">
      <c r="B30" s="51" t="s">
        <v>7</v>
      </c>
      <c r="E30" s="52">
        <f>VLOOKUP($E$25&amp;"-"&amp;B30,'Página2'!A:D,4,FALSE())</f>
        <v>0.05</v>
      </c>
      <c r="F30" s="53">
        <f t="shared" si="1"/>
        <v>15</v>
      </c>
    </row>
    <row r="31">
      <c r="B31" s="51" t="s">
        <v>9</v>
      </c>
      <c r="E31" s="52">
        <f>VLOOKUP($E$25&amp;"-"&amp;B31,'Página2'!A:D,4,FALSE())</f>
        <v>0.05</v>
      </c>
      <c r="F31" s="53">
        <f t="shared" si="1"/>
        <v>15</v>
      </c>
    </row>
    <row r="32">
      <c r="B32" s="51" t="s">
        <v>10</v>
      </c>
      <c r="E32" s="52">
        <f>VLOOKUP($E$25&amp;"-"&amp;B32,'Página2'!A:D,4,FALSE())</f>
        <v>0.2</v>
      </c>
      <c r="F32" s="53">
        <f t="shared" si="1"/>
        <v>60</v>
      </c>
    </row>
    <row r="33">
      <c r="B33" s="54" t="s">
        <v>11</v>
      </c>
      <c r="C33" s="17"/>
      <c r="D33" s="17"/>
      <c r="E33" s="55">
        <f>VLOOKUP($E$25&amp;"-"&amp;B33,'Página2'!A:D,4,FALSE())</f>
        <v>0.1</v>
      </c>
      <c r="F33" s="56">
        <f t="shared" si="1"/>
        <v>30</v>
      </c>
    </row>
    <row r="35">
      <c r="F35" s="57"/>
    </row>
  </sheetData>
  <mergeCells count="43">
    <mergeCell ref="B33:D33"/>
    <mergeCell ref="B32:D32"/>
    <mergeCell ref="E10:F10"/>
    <mergeCell ref="E11:F11"/>
    <mergeCell ref="E12:F12"/>
    <mergeCell ref="E13:F13"/>
    <mergeCell ref="B10:D10"/>
    <mergeCell ref="B11:D11"/>
    <mergeCell ref="B12:D12"/>
    <mergeCell ref="B13:D13"/>
    <mergeCell ref="E5:F5"/>
    <mergeCell ref="E6:F6"/>
    <mergeCell ref="E4:F4"/>
    <mergeCell ref="B2:F3"/>
    <mergeCell ref="B8:F9"/>
    <mergeCell ref="B4:D4"/>
    <mergeCell ref="B5:D5"/>
    <mergeCell ref="B6:D6"/>
    <mergeCell ref="F16:F17"/>
    <mergeCell ref="B18:C18"/>
    <mergeCell ref="D18:E18"/>
    <mergeCell ref="B19:C19"/>
    <mergeCell ref="D19:E19"/>
    <mergeCell ref="E14:F14"/>
    <mergeCell ref="B16:E17"/>
    <mergeCell ref="B14:D14"/>
    <mergeCell ref="D23:E23"/>
    <mergeCell ref="B20:C20"/>
    <mergeCell ref="D20:E20"/>
    <mergeCell ref="B21:C21"/>
    <mergeCell ref="D21:E21"/>
    <mergeCell ref="B22:C22"/>
    <mergeCell ref="D22:E22"/>
    <mergeCell ref="B23:C23"/>
    <mergeCell ref="B30:D30"/>
    <mergeCell ref="B31:D31"/>
    <mergeCell ref="B25:D25"/>
    <mergeCell ref="B26:D26"/>
    <mergeCell ref="E26:F26"/>
    <mergeCell ref="E25:F25"/>
    <mergeCell ref="B27:D27"/>
    <mergeCell ref="B28:D28"/>
    <mergeCell ref="B29:D29"/>
  </mergeCells>
  <dataValidations>
    <dataValidation type="list" allowBlank="1" showErrorMessage="1" sqref="E25">
      <formula1>"Conservador,Moderado,Agressivo"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3" max="3" width="15.5"/>
    <col customWidth="1" min="6" max="6" width="16.13"/>
    <col customWidth="1" min="7" max="7" width="25.5"/>
  </cols>
  <sheetData>
    <row r="1" ht="23.25" customHeight="1">
      <c r="A1" s="1" t="s">
        <v>0</v>
      </c>
      <c r="B1" s="1" t="s">
        <v>1</v>
      </c>
      <c r="C1" s="1" t="s">
        <v>2</v>
      </c>
    </row>
    <row r="2">
      <c r="A2" s="2" t="str">
        <f t="shared" ref="A2:A7" si="1">B2&amp;"-"&amp;C2</f>
        <v>Conservador-Papel</v>
      </c>
      <c r="B2" s="1" t="s">
        <v>3</v>
      </c>
      <c r="C2" s="1" t="s">
        <v>4</v>
      </c>
      <c r="D2" s="3">
        <v>0.3</v>
      </c>
      <c r="E2" s="1"/>
      <c r="F2" s="1"/>
    </row>
    <row r="3">
      <c r="A3" s="2" t="str">
        <f t="shared" si="1"/>
        <v>Conservador-Tijolo</v>
      </c>
      <c r="B3" s="1" t="s">
        <v>3</v>
      </c>
      <c r="C3" s="1" t="s">
        <v>5</v>
      </c>
      <c r="D3" s="3">
        <v>0.5</v>
      </c>
      <c r="E3" s="1"/>
      <c r="G3" s="1" t="s">
        <v>6</v>
      </c>
    </row>
    <row r="4">
      <c r="A4" s="2" t="str">
        <f t="shared" si="1"/>
        <v>Conservador-hibrido</v>
      </c>
      <c r="B4" s="1" t="s">
        <v>3</v>
      </c>
      <c r="C4" s="1" t="s">
        <v>7</v>
      </c>
      <c r="D4" s="3">
        <v>0.1</v>
      </c>
      <c r="E4" s="1"/>
      <c r="F4" s="2" t="s">
        <v>8</v>
      </c>
      <c r="G4" s="4">
        <f>VLOOKUP(F4,$A:$D,4,FALSE())</f>
        <v>0.08</v>
      </c>
    </row>
    <row r="5">
      <c r="A5" s="2" t="str">
        <f t="shared" si="1"/>
        <v>Conservador-FOFs</v>
      </c>
      <c r="B5" s="1" t="s">
        <v>3</v>
      </c>
      <c r="C5" s="1" t="s">
        <v>9</v>
      </c>
      <c r="D5" s="3">
        <v>0.1</v>
      </c>
      <c r="E5" s="1"/>
      <c r="F5" s="1"/>
    </row>
    <row r="6">
      <c r="A6" s="2" t="str">
        <f t="shared" si="1"/>
        <v>Conservador-desenvolvimento</v>
      </c>
      <c r="B6" s="1" t="s">
        <v>3</v>
      </c>
      <c r="C6" s="1" t="s">
        <v>10</v>
      </c>
      <c r="D6" s="3">
        <v>0.0</v>
      </c>
      <c r="E6" s="1"/>
      <c r="F6" s="1"/>
    </row>
    <row r="7">
      <c r="A7" s="2" t="str">
        <f t="shared" si="1"/>
        <v>Conservador-Hotelaria</v>
      </c>
      <c r="B7" s="1" t="s">
        <v>3</v>
      </c>
      <c r="C7" s="1" t="s">
        <v>11</v>
      </c>
      <c r="D7" s="3">
        <v>0.0</v>
      </c>
      <c r="E7" s="1"/>
      <c r="F7" s="1"/>
    </row>
    <row r="8">
      <c r="B8" s="1"/>
      <c r="C8" s="1"/>
      <c r="D8" s="3"/>
      <c r="E8" s="1"/>
      <c r="F8" s="1"/>
    </row>
    <row r="9">
      <c r="A9" s="2" t="str">
        <f t="shared" ref="A9:A14" si="2">B9&amp;"-"&amp;C9</f>
        <v>Moderado-Papel</v>
      </c>
      <c r="B9" s="1" t="s">
        <v>12</v>
      </c>
      <c r="C9" s="1" t="s">
        <v>4</v>
      </c>
      <c r="D9" s="3">
        <v>0.32</v>
      </c>
    </row>
    <row r="10">
      <c r="A10" s="2" t="str">
        <f t="shared" si="2"/>
        <v>Moderado-Tijolo</v>
      </c>
      <c r="B10" s="1" t="s">
        <v>12</v>
      </c>
      <c r="C10" s="1" t="s">
        <v>5</v>
      </c>
      <c r="D10" s="3">
        <v>0.4</v>
      </c>
    </row>
    <row r="11">
      <c r="A11" s="2" t="str">
        <f t="shared" si="2"/>
        <v>Moderado-hibrido</v>
      </c>
      <c r="B11" s="1" t="s">
        <v>12</v>
      </c>
      <c r="C11" s="1" t="s">
        <v>7</v>
      </c>
      <c r="D11" s="3">
        <v>0.08</v>
      </c>
    </row>
    <row r="12">
      <c r="A12" s="2" t="str">
        <f t="shared" si="2"/>
        <v>Moderado-FOFs</v>
      </c>
      <c r="B12" s="1" t="s">
        <v>12</v>
      </c>
      <c r="C12" s="1" t="s">
        <v>9</v>
      </c>
      <c r="D12" s="3">
        <v>0.1</v>
      </c>
    </row>
    <row r="13">
      <c r="A13" s="2" t="str">
        <f t="shared" si="2"/>
        <v>Moderado-desenvolvimento</v>
      </c>
      <c r="B13" s="1" t="s">
        <v>12</v>
      </c>
      <c r="C13" s="1" t="s">
        <v>10</v>
      </c>
      <c r="D13" s="3">
        <v>0.1</v>
      </c>
    </row>
    <row r="14">
      <c r="A14" s="2" t="str">
        <f t="shared" si="2"/>
        <v>Moderado-Hotelaria</v>
      </c>
      <c r="B14" s="1" t="s">
        <v>12</v>
      </c>
      <c r="C14" s="1" t="s">
        <v>11</v>
      </c>
      <c r="D14" s="3">
        <v>0.1</v>
      </c>
    </row>
    <row r="15">
      <c r="B15" s="1"/>
      <c r="C15" s="1"/>
      <c r="D15" s="4"/>
    </row>
    <row r="16">
      <c r="A16" s="2" t="str">
        <f t="shared" ref="A16:A21" si="3">B16&amp;"-"&amp;C16</f>
        <v>Agressivo-Papel</v>
      </c>
      <c r="B16" s="1" t="s">
        <v>13</v>
      </c>
      <c r="C16" s="1" t="s">
        <v>4</v>
      </c>
      <c r="D16" s="3">
        <v>0.5</v>
      </c>
    </row>
    <row r="17">
      <c r="A17" s="2" t="str">
        <f t="shared" si="3"/>
        <v>Agressivo-Tijolo</v>
      </c>
      <c r="B17" s="1" t="s">
        <v>13</v>
      </c>
      <c r="C17" s="1" t="s">
        <v>5</v>
      </c>
      <c r="D17" s="3">
        <v>0.1</v>
      </c>
    </row>
    <row r="18">
      <c r="A18" s="2" t="str">
        <f t="shared" si="3"/>
        <v>Agressivo-hibrido</v>
      </c>
      <c r="B18" s="1" t="s">
        <v>13</v>
      </c>
      <c r="C18" s="1" t="s">
        <v>7</v>
      </c>
      <c r="D18" s="3">
        <v>0.05</v>
      </c>
    </row>
    <row r="19">
      <c r="A19" s="2" t="str">
        <f t="shared" si="3"/>
        <v>Agressivo-FOFs</v>
      </c>
      <c r="B19" s="1" t="s">
        <v>13</v>
      </c>
      <c r="C19" s="1" t="s">
        <v>9</v>
      </c>
      <c r="D19" s="3">
        <v>0.05</v>
      </c>
    </row>
    <row r="20">
      <c r="A20" s="2" t="str">
        <f t="shared" si="3"/>
        <v>Agressivo-desenvolvimento</v>
      </c>
      <c r="B20" s="1" t="s">
        <v>13</v>
      </c>
      <c r="C20" s="1" t="s">
        <v>10</v>
      </c>
      <c r="D20" s="3">
        <v>0.2</v>
      </c>
    </row>
    <row r="21">
      <c r="A21" s="2" t="str">
        <f t="shared" si="3"/>
        <v>Agressivo-Hotelaria</v>
      </c>
      <c r="B21" s="1" t="s">
        <v>13</v>
      </c>
      <c r="C21" s="1" t="s">
        <v>11</v>
      </c>
      <c r="D21" s="3">
        <v>0.1</v>
      </c>
    </row>
  </sheetData>
  <drawing r:id="rId1"/>
</worksheet>
</file>